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bookViews>
    <workbookView xWindow="0" yWindow="0" windowWidth="34725" windowHeight="12435" activeTab="1"/>
  </bookViews>
  <sheets>
    <sheet name="Cover Page" sheetId="7" r:id="rId1"/>
    <sheet name="Start" sheetId="6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6" l="1"/>
  <c r="D18" i="6"/>
  <c r="D41" i="6"/>
  <c r="E41" i="6"/>
  <c r="F41" i="6"/>
  <c r="G41" i="6"/>
  <c r="H41" i="6"/>
  <c r="D42" i="6"/>
  <c r="E42" i="6"/>
  <c r="F42" i="6"/>
  <c r="G42" i="6"/>
  <c r="H42" i="6"/>
  <c r="D43" i="6"/>
  <c r="E43" i="6"/>
  <c r="F43" i="6"/>
  <c r="G43" i="6"/>
  <c r="H43" i="6"/>
  <c r="D44" i="6"/>
  <c r="E44" i="6"/>
  <c r="F44" i="6"/>
  <c r="G44" i="6"/>
  <c r="H44" i="6"/>
  <c r="D45" i="6"/>
  <c r="E45" i="6"/>
  <c r="F45" i="6"/>
  <c r="G45" i="6"/>
  <c r="H45" i="6"/>
  <c r="D46" i="6"/>
  <c r="E46" i="6"/>
  <c r="F46" i="6"/>
  <c r="G46" i="6"/>
  <c r="H46" i="6"/>
  <c r="D48" i="6"/>
  <c r="E48" i="6"/>
  <c r="F48" i="6"/>
  <c r="G48" i="6"/>
  <c r="H48" i="6"/>
  <c r="D49" i="6"/>
  <c r="E49" i="6"/>
  <c r="F49" i="6"/>
  <c r="G49" i="6"/>
  <c r="H49" i="6"/>
  <c r="D51" i="6"/>
  <c r="E51" i="6"/>
  <c r="F51" i="6"/>
  <c r="G51" i="6"/>
  <c r="H51" i="6"/>
  <c r="D52" i="6"/>
  <c r="E52" i="6"/>
  <c r="F52" i="6"/>
  <c r="G52" i="6"/>
  <c r="H52" i="6"/>
  <c r="D53" i="6"/>
  <c r="E53" i="6"/>
  <c r="F53" i="6"/>
  <c r="G53" i="6"/>
  <c r="H53" i="6"/>
  <c r="D54" i="6"/>
  <c r="E54" i="6"/>
  <c r="F54" i="6"/>
  <c r="G54" i="6"/>
  <c r="H54" i="6"/>
  <c r="D55" i="6"/>
  <c r="E55" i="6"/>
  <c r="F55" i="6"/>
  <c r="G55" i="6"/>
  <c r="H55" i="6"/>
  <c r="D57" i="6"/>
  <c r="E57" i="6"/>
  <c r="E59" i="6" s="1"/>
  <c r="F18" i="6" s="1"/>
  <c r="D58" i="6"/>
  <c r="E58" i="6"/>
  <c r="F58" i="6"/>
  <c r="G58" i="6"/>
  <c r="H58" i="6"/>
  <c r="D59" i="6"/>
  <c r="C59" i="6"/>
  <c r="C58" i="6"/>
  <c r="C57" i="6"/>
  <c r="C55" i="6"/>
  <c r="C54" i="6"/>
  <c r="C53" i="6"/>
  <c r="C52" i="6"/>
  <c r="C51" i="6"/>
  <c r="C49" i="6"/>
  <c r="C48" i="6"/>
  <c r="C46" i="6"/>
  <c r="C45" i="6"/>
  <c r="C44" i="6"/>
  <c r="C43" i="6"/>
  <c r="C42" i="6"/>
  <c r="C41" i="6"/>
  <c r="D34" i="6"/>
  <c r="E34" i="6"/>
  <c r="F34" i="6"/>
  <c r="G34" i="6"/>
  <c r="H34" i="6"/>
  <c r="E111" i="6"/>
  <c r="D33" i="6"/>
  <c r="E109" i="6"/>
  <c r="F109" i="6"/>
  <c r="G109" i="6"/>
  <c r="H109" i="6"/>
  <c r="E108" i="6"/>
  <c r="F108" i="6"/>
  <c r="F111" i="6" s="1"/>
  <c r="D111" i="6"/>
  <c r="D108" i="6"/>
  <c r="C111" i="6"/>
  <c r="D109" i="6"/>
  <c r="D32" i="6"/>
  <c r="G30" i="6"/>
  <c r="G36" i="6" s="1"/>
  <c r="E30" i="6"/>
  <c r="E36" i="6" s="1"/>
  <c r="D27" i="6"/>
  <c r="D30" i="6" s="1"/>
  <c r="D36" i="6" s="1"/>
  <c r="E27" i="6"/>
  <c r="F27" i="6"/>
  <c r="F30" i="6" s="1"/>
  <c r="F36" i="6" s="1"/>
  <c r="G27" i="6"/>
  <c r="H27" i="6"/>
  <c r="H30" i="6" s="1"/>
  <c r="H36" i="6" s="1"/>
  <c r="E25" i="6"/>
  <c r="F25" i="6"/>
  <c r="G25" i="6"/>
  <c r="H25" i="6"/>
  <c r="D25" i="6"/>
  <c r="F77" i="6"/>
  <c r="G77" i="6"/>
  <c r="H77" i="6" s="1"/>
  <c r="E77" i="6"/>
  <c r="D77" i="6"/>
  <c r="D23" i="6"/>
  <c r="E22" i="6"/>
  <c r="F22" i="6"/>
  <c r="G22" i="6"/>
  <c r="H22" i="6"/>
  <c r="D22" i="6"/>
  <c r="F102" i="6"/>
  <c r="E100" i="6"/>
  <c r="F100" i="6"/>
  <c r="G100" i="6"/>
  <c r="H100" i="6"/>
  <c r="D102" i="6"/>
  <c r="E102" i="6"/>
  <c r="G102" i="6"/>
  <c r="H102" i="6"/>
  <c r="D103" i="6"/>
  <c r="E103" i="6"/>
  <c r="F103" i="6"/>
  <c r="G103" i="6"/>
  <c r="H103" i="6"/>
  <c r="D104" i="6"/>
  <c r="E104" i="6"/>
  <c r="F104" i="6"/>
  <c r="G104" i="6"/>
  <c r="H104" i="6"/>
  <c r="D105" i="6"/>
  <c r="F105" i="6"/>
  <c r="H105" i="6"/>
  <c r="C105" i="6"/>
  <c r="C102" i="6"/>
  <c r="C104" i="6"/>
  <c r="D100" i="6"/>
  <c r="C103" i="6"/>
  <c r="D21" i="6"/>
  <c r="E21" i="6"/>
  <c r="E23" i="6" s="1"/>
  <c r="E19" i="6"/>
  <c r="F19" i="6"/>
  <c r="G19" i="6"/>
  <c r="H19" i="6"/>
  <c r="E20" i="6"/>
  <c r="F20" i="6"/>
  <c r="G20" i="6"/>
  <c r="H20" i="6"/>
  <c r="D20" i="6"/>
  <c r="D71" i="6"/>
  <c r="D19" i="6"/>
  <c r="E72" i="6"/>
  <c r="F72" i="6"/>
  <c r="G72" i="6"/>
  <c r="H72" i="6"/>
  <c r="D72" i="6"/>
  <c r="F57" i="6" l="1"/>
  <c r="F59" i="6" s="1"/>
  <c r="G18" i="6" s="1"/>
  <c r="F21" i="6"/>
  <c r="F23" i="6" s="1"/>
  <c r="F33" i="6"/>
  <c r="G108" i="6"/>
  <c r="G111" i="6" s="1"/>
  <c r="G105" i="6"/>
  <c r="E105" i="6"/>
  <c r="D76" i="6"/>
  <c r="E76" i="6"/>
  <c r="F76" i="6" s="1"/>
  <c r="G76" i="6" s="1"/>
  <c r="H76" i="6" s="1"/>
  <c r="D75" i="6"/>
  <c r="F75" i="6"/>
  <c r="G75" i="6"/>
  <c r="H75" i="6" s="1"/>
  <c r="E75" i="6"/>
  <c r="C36" i="6"/>
  <c r="C34" i="6"/>
  <c r="C30" i="6"/>
  <c r="C27" i="6"/>
  <c r="C23" i="6"/>
  <c r="C21" i="6"/>
  <c r="D10" i="6"/>
  <c r="E11" i="6"/>
  <c r="F11" i="6"/>
  <c r="G11" i="6"/>
  <c r="H11" i="6"/>
  <c r="D11" i="6"/>
  <c r="E81" i="6"/>
  <c r="F81" i="6"/>
  <c r="G81" i="6"/>
  <c r="H81" i="6"/>
  <c r="D81" i="6"/>
  <c r="E9" i="6"/>
  <c r="F9" i="6"/>
  <c r="G9" i="6"/>
  <c r="H9" i="6"/>
  <c r="D9" i="6"/>
  <c r="E99" i="6"/>
  <c r="F99" i="6"/>
  <c r="G99" i="6"/>
  <c r="H99" i="6"/>
  <c r="D99" i="6"/>
  <c r="E5" i="6"/>
  <c r="F5" i="6"/>
  <c r="G5" i="6"/>
  <c r="H5" i="6"/>
  <c r="E6" i="6"/>
  <c r="F6" i="6"/>
  <c r="G6" i="6"/>
  <c r="H6" i="6"/>
  <c r="E7" i="6"/>
  <c r="F7" i="6"/>
  <c r="G7" i="6"/>
  <c r="H7" i="6"/>
  <c r="E8" i="6"/>
  <c r="F8" i="6"/>
  <c r="G8" i="6"/>
  <c r="H8" i="6"/>
  <c r="E10" i="6"/>
  <c r="F10" i="6"/>
  <c r="G10" i="6"/>
  <c r="H10" i="6"/>
  <c r="E12" i="6"/>
  <c r="F12" i="6"/>
  <c r="G12" i="6"/>
  <c r="H12" i="6"/>
  <c r="E13" i="6"/>
  <c r="F13" i="6"/>
  <c r="G13" i="6"/>
  <c r="H13" i="6"/>
  <c r="E14" i="6"/>
  <c r="F14" i="6"/>
  <c r="G14" i="6"/>
  <c r="H14" i="6"/>
  <c r="D13" i="6"/>
  <c r="D12" i="6"/>
  <c r="D6" i="6"/>
  <c r="D8" i="6"/>
  <c r="D7" i="6"/>
  <c r="D5" i="6"/>
  <c r="E98" i="6"/>
  <c r="F98" i="6"/>
  <c r="G98" i="6"/>
  <c r="H98" i="6"/>
  <c r="D98" i="6"/>
  <c r="C89" i="6"/>
  <c r="G57" i="6" l="1"/>
  <c r="G59" i="6" s="1"/>
  <c r="H18" i="6" s="1"/>
  <c r="G21" i="6"/>
  <c r="G23" i="6" s="1"/>
  <c r="G33" i="6"/>
  <c r="H108" i="6"/>
  <c r="H111" i="6" s="1"/>
  <c r="H33" i="6" s="1"/>
  <c r="D14" i="6"/>
  <c r="H96" i="6"/>
  <c r="H95" i="6"/>
  <c r="G95" i="6"/>
  <c r="H94" i="6"/>
  <c r="G94" i="6"/>
  <c r="F94" i="6"/>
  <c r="H93" i="6"/>
  <c r="G93" i="6"/>
  <c r="F93" i="6"/>
  <c r="E93" i="6"/>
  <c r="C92" i="6" a="1"/>
  <c r="C92" i="6" s="1"/>
  <c r="E79" i="6"/>
  <c r="F79" i="6" s="1"/>
  <c r="G79" i="6" s="1"/>
  <c r="H79" i="6" s="1"/>
  <c r="B77" i="6"/>
  <c r="B76" i="6"/>
  <c r="B75" i="6"/>
  <c r="C33" i="6"/>
  <c r="D17" i="6"/>
  <c r="E17" i="6" s="1"/>
  <c r="D4" i="6"/>
  <c r="H57" i="6" l="1"/>
  <c r="H59" i="6" s="1"/>
  <c r="H21" i="6"/>
  <c r="H23" i="6" s="1"/>
  <c r="H92" i="6"/>
  <c r="G92" i="6"/>
  <c r="F92" i="6"/>
  <c r="E92" i="6"/>
  <c r="D92" i="6"/>
  <c r="E4" i="6"/>
  <c r="F17" i="6"/>
  <c r="F4" i="6" l="1"/>
  <c r="G17" i="6"/>
  <c r="G4" i="6" l="1"/>
  <c r="H17" i="6"/>
  <c r="H4" i="6" s="1"/>
  <c r="C96" i="6"/>
  <c r="C95" i="6"/>
  <c r="C94" i="6"/>
  <c r="C93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<sst xmlns="http://schemas.openxmlformats.org/spreadsheetml/2006/main" count="112" uniqueCount="87">
  <si>
    <t>Income Statement</t>
  </si>
  <si>
    <t>Balance Sheet</t>
  </si>
  <si>
    <t>Cash Flow Statement</t>
  </si>
  <si>
    <t>Revenue</t>
  </si>
  <si>
    <t>Inventory</t>
  </si>
  <si>
    <t>Cash Flow from Operating Activities</t>
  </si>
  <si>
    <t>Cash Flow from Investing Activities</t>
  </si>
  <si>
    <t>Cash Flow from Financing Activities</t>
  </si>
  <si>
    <t>Beginning Cash Balance</t>
  </si>
  <si>
    <t>Change in Cash</t>
  </si>
  <si>
    <t>Retained Earnings</t>
  </si>
  <si>
    <t>COGS</t>
  </si>
  <si>
    <t>SG&amp;A</t>
  </si>
  <si>
    <t>Figures in USD millions</t>
  </si>
  <si>
    <t>Gross Profit</t>
  </si>
  <si>
    <t>Depreciation</t>
  </si>
  <si>
    <t>Operating Profit</t>
  </si>
  <si>
    <t>Interest Expense</t>
  </si>
  <si>
    <t>Earnings Before Tax</t>
  </si>
  <si>
    <t>Taxes</t>
  </si>
  <si>
    <t>Net Income</t>
  </si>
  <si>
    <t>Cash &amp; Cash Equivalents</t>
  </si>
  <si>
    <t>Accounts Receivable</t>
  </si>
  <si>
    <t>Total Current Assets</t>
  </si>
  <si>
    <t>Property Plant &amp; Equipment (PPE)</t>
  </si>
  <si>
    <t>Total Assets</t>
  </si>
  <si>
    <t>Accounts Payable</t>
  </si>
  <si>
    <t>Revolver</t>
  </si>
  <si>
    <t>Total Current Liabilities</t>
  </si>
  <si>
    <t>Long Term Debt</t>
  </si>
  <si>
    <t>Total Liabilities</t>
  </si>
  <si>
    <t>Common Stock</t>
  </si>
  <si>
    <t>Total Shareholders' Equity</t>
  </si>
  <si>
    <t>Total Liabilities &amp; Equity</t>
  </si>
  <si>
    <t>Balance Sheet Check</t>
  </si>
  <si>
    <t>Change in Accounts Receivable</t>
  </si>
  <si>
    <t>Change in Inventory</t>
  </si>
  <si>
    <t>Change in Accounts Payable</t>
  </si>
  <si>
    <t>Capital Expenditures</t>
  </si>
  <si>
    <t>Change in LT Debt</t>
  </si>
  <si>
    <t>Change in Revolver</t>
  </si>
  <si>
    <t>Change in Common Stock</t>
  </si>
  <si>
    <t>Dividends</t>
  </si>
  <si>
    <t>Supporting Schedules</t>
  </si>
  <si>
    <t>Assumptions</t>
  </si>
  <si>
    <t>Fixed Assets Schedule</t>
  </si>
  <si>
    <t>Tax Rate</t>
  </si>
  <si>
    <t>Income Statement Assumptions</t>
  </si>
  <si>
    <t>Balance Sheet Assumptions</t>
  </si>
  <si>
    <t>End of Year Cash Balance</t>
  </si>
  <si>
    <t>Beginning of Year Cash Balance</t>
  </si>
  <si>
    <t>Beginning PPE</t>
  </si>
  <si>
    <t>Capex</t>
  </si>
  <si>
    <t>Ending PPE</t>
  </si>
  <si>
    <t>Interest</t>
  </si>
  <si>
    <t>X</t>
  </si>
  <si>
    <t>Units Sold</t>
  </si>
  <si>
    <t>Price per Unit</t>
  </si>
  <si>
    <t>SG&amp;A as a % of Rev</t>
  </si>
  <si>
    <t>COGS as a % of Rev</t>
  </si>
  <si>
    <t>Existing Asset Depreciation</t>
  </si>
  <si>
    <t>New Assets Depreciation</t>
  </si>
  <si>
    <t>Total Depreciation</t>
  </si>
  <si>
    <t>New Assets Useful Life (years)</t>
  </si>
  <si>
    <t>Existing Assets Useful Life (years)</t>
  </si>
  <si>
    <t xml:space="preserve">COGS </t>
  </si>
  <si>
    <t>Retained Earnings Schedule</t>
  </si>
  <si>
    <t>End of Period RE</t>
  </si>
  <si>
    <t>Beginning of Period RE</t>
  </si>
  <si>
    <t>Available Cash</t>
  </si>
  <si>
    <t>Cash from operations</t>
  </si>
  <si>
    <t>Cash from Investing</t>
  </si>
  <si>
    <t>Cash Available for Revolver</t>
  </si>
  <si>
    <t>Beginning Balance</t>
  </si>
  <si>
    <t>Ending Balance</t>
  </si>
  <si>
    <t>Total Interest Expense</t>
  </si>
  <si>
    <t>Interest Expense %</t>
  </si>
  <si>
    <t>3 Statement Financial Model</t>
  </si>
  <si>
    <t>PP&amp;E 2023 EOP</t>
  </si>
  <si>
    <t>Figures in USD</t>
  </si>
  <si>
    <t>Revolver Interest Rate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</si>
  <si>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</si>
  <si>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</si>
  <si>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</si>
  <si>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</si>
  <si>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</si>
  <si>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Get our Finance &amp; Valuation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</si>
</sst>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\A"/>
    <numFmt numFmtId="165" formatCode="0\F"/>
    <numFmt numFmtId="166" formatCode="_(#,##0_);\(#,##0\);_(&quot;–&quot;_);_(@_)"/>
    <numFmt numFmtId="167" formatCode="0.0%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3" borderId="0" xfId="0" applyFont="1" applyFill="1"/>
    <xf numFmtId="0" fontId="3" fillId="0" borderId="1" xfId="0" applyFont="1" applyBorder="1"/>
    <xf numFmtId="0" fontId="3" fillId="4" borderId="2" xfId="0" applyFont="1" applyFill="1" applyBorder="1"/>
    <xf numFmtId="0" fontId="2" fillId="2" borderId="0" xfId="0" applyFont="1" applyFill="1" applyAlignment="1">
      <alignment vertical="center"/>
    </xf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3" fillId="0" borderId="2" xfId="0" applyFont="1" applyBorder="1"/>
    <xf numFmtId="0" fontId="0" fillId="3" borderId="0" xfId="0" applyFill="1"/>
    <xf numFmtId="166" fontId="0" fillId="0" borderId="0" xfId="0" applyNumberFormat="1"/>
    <xf numFmtId="166" fontId="3" fillId="0" borderId="1" xfId="0" applyNumberFormat="1" applyFont="1" applyBorder="1"/>
    <xf numFmtId="166" fontId="3" fillId="4" borderId="2" xfId="0" applyNumberFormat="1" applyFont="1" applyFill="1" applyBorder="1"/>
    <xf numFmtId="166" fontId="5" fillId="0" borderId="0" xfId="0" applyNumberFormat="1" applyFont="1"/>
    <xf numFmtId="166" fontId="3" fillId="0" borderId="2" xfId="0" applyNumberFormat="1" applyFont="1" applyBorder="1"/>
    <xf numFmtId="0" fontId="5" fillId="0" borderId="0" xfId="0" applyFont="1"/>
    <xf numFmtId="167" fontId="0" fillId="0" borderId="0" xfId="1" applyNumberFormat="1" applyFont="1"/>
    <xf numFmtId="167" fontId="0" fillId="0" borderId="0" xfId="0" applyNumberFormat="1"/>
    <xf numFmtId="167" fontId="5" fillId="0" borderId="0" xfId="0" applyNumberFormat="1" applyFont="1"/>
    <xf numFmtId="167" fontId="5" fillId="0" borderId="0" xfId="1" applyNumberFormat="1" applyFont="1"/>
    <xf numFmtId="166" fontId="3" fillId="0" borderId="0" xfId="0" applyNumberFormat="1" applyFont="1"/>
    <xf numFmtId="1" fontId="5" fillId="0" borderId="0" xfId="0" applyNumberFormat="1" applyFont="1"/>
    <xf numFmtId="0" fontId="0" fillId="2" borderId="0" xfId="0" applyFill="1"/>
    <xf numFmtId="0" fontId="4" fillId="5" borderId="0" xfId="0" applyFont="1" applyFill="1"/>
    <xf numFmtId="166" fontId="4" fillId="5" borderId="0" xfId="0" applyNumberFormat="1" applyFont="1" applyFill="1"/>
    <xf numFmtId="0" fontId="6" fillId="2" borderId="0" xfId="0" applyFont="1" applyFill="1" applyAlignment="1">
      <alignment horizontal="left" vertical="center" indent="1"/>
    </xf>
    <xf numFmtId="0" fontId="3" fillId="3" borderId="0" xfId="0" applyFont="1" applyFill="1"/>
    <xf numFmtId="0" fontId="0" fillId="0" borderId="3" xfId="0" applyBorder="1"/>
    <xf numFmtId="0" fontId="9" fillId="0" borderId="4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0" fillId="0" borderId="0" xfId="0" applyFont="1" applyAlignment="1">
      <alignment horizontal="center" vertical="center"/>
    </xf>
    <xf numFmtId="0" fontId="0" fillId="0" borderId="7" xfId="0" applyBorder="1"/>
    <xf numFmtId="0" fontId="1" fillId="0" borderId="6" xfId="0" applyFont="1" applyBorder="1"/>
    <xf numFmtId="0" fontId="11" fillId="0" borderId="0" xfId="0" applyFont="1" applyAlignment="1">
      <alignment horizontal="center"/>
    </xf>
    <xf numFmtId="0" fontId="1" fillId="0" borderId="7" xfId="0" applyFont="1" applyBorder="1"/>
    <xf numFmtId="0" fontId="1" fillId="3" borderId="0" xfId="0" applyFont="1" applyFill="1"/>
    <xf numFmtId="0" fontId="1" fillId="0" borderId="0" xfId="0" applyFont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0" xfId="0" applyFill="1" applyAlignment="1">
      <alignment vertical="center"/>
    </xf>
    <xf numFmtId="0" fontId="13" fillId="0" borderId="0" xfId="3" applyFont="1" applyFill="1" applyBorder="1"/>
    <xf numFmtId="0" fontId="7" fillId="0" borderId="9" xfId="0" applyFont="1" applyBorder="1"/>
    <xf numFmtId="0" fontId="0" fillId="0" borderId="0" xfId="0" applyAlignment="1">
      <alignment vertical="top" wrapText="1"/>
    </xf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14" fillId="6" borderId="8" xfId="2" applyFont="1" applyFill="1" applyBorder="1" applyAlignment="1">
      <alignment horizontal="center" vertical="center"/>
    </xf>
    <xf numFmtId="166" fontId="0" fillId="7" borderId="0" xfId="0" applyNumberFormat="1" applyFill="1"/>
  </cellXfs>
  <cellStyles count="4">
    <cellStyle name="Hyperlink" xfId="2" builtinId="8"/>
    <cellStyle name="Hyperlink 2" xf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432FF"/>
      <color rgb="FF07367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2209032</xdr:colOff>
      <xdr:row>3</xdr:row>
      <xdr:rowOff>50217</xdr:rowOff>
    </xdr:from>
    <xdr:ext cx="3204694" cy="1114911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406CEED-4C03-4AEA-A685-F28C7C5F5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2232" y="1224967"/>
          <a:ext cx="3204694" cy="11149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finance-valuation-cours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6"/>
  <sheetViews>
    <sheetView showGridLines="0" zoomScale="110" zoomScaleNormal="110" workbookViewId="0">
      <selection activeCell="C9" sqref="C9"/>
    </sheetView>
  </sheetViews>
  <sheetFormatPr defaultColWidth="10.875" defaultRowHeight="15.75" x14ac:dyDescent="0.25"/>
  <cols>
    <col min="1" max="1" width="10.875" style="9"/>
    <col min="2" max="2" width="8.5" style="9" customWidth="1"/>
    <col min="3" max="3" width="102.625" style="9" bestFit="1" customWidth="1"/>
    <col min="4" max="4" width="9.5" style="9" customWidth="1"/>
    <col min="5" max="16384" width="10.875" style="9"/>
  </cols>
  <sheetData>
    <row r="3" spans="2:4" ht="61.5" x14ac:dyDescent="0.25">
      <c r="B3" s="27"/>
      <c r="C3" s="28" t="s">
        <v>77</v>
      </c>
      <c r="D3" s="29"/>
    </row>
    <row r="4" spans="2:4" ht="54" customHeight="1" x14ac:dyDescent="0.25">
      <c r="B4" s="30"/>
      <c r="C4" s="31"/>
      <c r="D4" s="32"/>
    </row>
    <row r="5" spans="2:4" ht="32.1" customHeight="1" x14ac:dyDescent="0.25">
      <c r="B5" s="30"/>
      <c r="C5" s="31"/>
      <c r="D5" s="32"/>
    </row>
    <row r="6" spans="2:4" x14ac:dyDescent="0.25">
      <c r="B6" s="30"/>
      <c r="C6"/>
      <c r="D6" s="32"/>
    </row>
    <row r="7" spans="2:4" s="36" customFormat="1" ht="21" x14ac:dyDescent="0.35">
      <c r="B7" s="33"/>
      <c r="C7" s="34" t="s">
        <v>81</v>
      </c>
      <c r="D7" s="35"/>
    </row>
    <row r="8" spans="2:4" s="36" customFormat="1" x14ac:dyDescent="0.25">
      <c r="B8" s="33"/>
      <c r="C8" s="37"/>
      <c r="D8" s="35"/>
    </row>
    <row r="9" spans="2:4" s="40" customFormat="1" ht="26.25" x14ac:dyDescent="0.25">
      <c r="B9" s="38"/>
      <c r="C9" s="47" t="s">
        <v>86</v>
      </c>
      <c r="D9" s="39"/>
    </row>
    <row r="10" spans="2:4" x14ac:dyDescent="0.25">
      <c r="B10" s="30"/>
      <c r="C10"/>
      <c r="D10" s="32"/>
    </row>
    <row r="11" spans="2:4" ht="18.75" x14ac:dyDescent="0.3">
      <c r="B11" s="30"/>
      <c r="C11" s="41" t="s">
        <v>82</v>
      </c>
      <c r="D11" s="32"/>
    </row>
    <row r="12" spans="2:4" x14ac:dyDescent="0.25">
      <c r="B12" s="30"/>
      <c r="C12"/>
      <c r="D12" s="32"/>
    </row>
    <row r="13" spans="2:4" x14ac:dyDescent="0.25">
      <c r="B13" s="30"/>
      <c r="C13" s="42" t="s">
        <v>83</v>
      </c>
      <c r="D13" s="32"/>
    </row>
    <row r="14" spans="2:4" x14ac:dyDescent="0.25">
      <c r="B14" s="30"/>
      <c r="C14" t="s">
        <v>84</v>
      </c>
      <c r="D14" s="32"/>
    </row>
    <row r="15" spans="2:4" ht="31.5" x14ac:dyDescent="0.25">
      <c r="B15" s="30"/>
      <c r="C15" s="43" t="s">
        <v>85</v>
      </c>
      <c r="D15" s="32"/>
    </row>
    <row r="16" spans="2:4" x14ac:dyDescent="0.25">
      <c r="B16" s="44"/>
      <c r="C16" s="45"/>
      <c r="D16" s="46"/>
    </row>
  </sheetData>
  <sheetProtection algorithmName="SHA-512" hashValue="xIOhd7/Jk7Wmwlv9fZOsB46zF6p6hPZhv+HyPr/l2LEQXuUs58fa97//gXBJUeIRnn9RmOELPbTtqRihRHX57A==" saltValue="Q5YbM0EpII/DagPhHFq4Ig==" spinCount="100000" sheet="1" objects="1" scenarios="1"/>
  <hyperlinks>
    <hyperlink ref="C11" r:id="rId1" display="Made by Kenji Explains"/>
    <hyperlink ref="C9" r:id="rId2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"/>
  <sheetViews>
    <sheetView showGridLines="0" tabSelected="1" topLeftCell="A46" zoomScale="115" zoomScaleNormal="115" workbookViewId="0">
      <selection activeCell="J23" sqref="J23"/>
    </sheetView>
  </sheetViews>
  <sheetFormatPr defaultColWidth="8.875" defaultRowHeight="15.75" x14ac:dyDescent="0.25"/>
  <cols>
    <col min="1" max="1" width="4.125" customWidth="1"/>
    <col min="2" max="2" width="30.5" customWidth="1"/>
    <col min="3" max="3" width="10.375" customWidth="1"/>
    <col min="4" max="4" width="10" customWidth="1"/>
    <col min="5" max="5" width="11.125" customWidth="1"/>
    <col min="6" max="7" width="13.5" customWidth="1"/>
    <col min="8" max="8" width="11" customWidth="1"/>
  </cols>
  <sheetData>
    <row r="1" spans="1:8" ht="48.95" customHeight="1" x14ac:dyDescent="0.25">
      <c r="B1" s="25" t="s">
        <v>77</v>
      </c>
      <c r="C1" s="22"/>
      <c r="D1" s="22"/>
      <c r="E1" s="22"/>
      <c r="F1" s="22"/>
      <c r="G1" s="22"/>
      <c r="H1" s="22"/>
    </row>
    <row r="3" spans="1:8" x14ac:dyDescent="0.25">
      <c r="A3" t="s">
        <v>55</v>
      </c>
      <c r="B3" s="5" t="s">
        <v>0</v>
      </c>
      <c r="C3" s="5"/>
      <c r="D3" s="5"/>
      <c r="E3" s="5"/>
      <c r="F3" s="5"/>
      <c r="G3" s="5"/>
      <c r="H3" s="5"/>
    </row>
    <row r="4" spans="1:8" x14ac:dyDescent="0.25">
      <c r="B4" s="2" t="s">
        <v>13</v>
      </c>
      <c r="C4" s="6"/>
      <c r="D4" s="7">
        <f>D17</f>
        <v>2024</v>
      </c>
      <c r="E4" s="7">
        <f>E17</f>
        <v>2025</v>
      </c>
      <c r="F4" s="7">
        <f>F17</f>
        <v>2026</v>
      </c>
      <c r="G4" s="7">
        <f>G17</f>
        <v>2027</v>
      </c>
      <c r="H4" s="7">
        <f>H17</f>
        <v>2028</v>
      </c>
    </row>
    <row r="5" spans="1:8" x14ac:dyDescent="0.25">
      <c r="B5" t="s">
        <v>3</v>
      </c>
      <c r="C5" s="10"/>
      <c r="D5" s="10">
        <f>D63*D64</f>
        <v>198380</v>
      </c>
      <c r="E5" s="10">
        <f t="shared" ref="E5:H5" si="0">E63*E64</f>
        <v>208299</v>
      </c>
      <c r="F5" s="10">
        <f t="shared" si="0"/>
        <v>223177.5</v>
      </c>
      <c r="G5" s="10">
        <f t="shared" si="0"/>
        <v>235576.25</v>
      </c>
      <c r="H5" s="10">
        <f t="shared" si="0"/>
        <v>247975</v>
      </c>
    </row>
    <row r="6" spans="1:8" x14ac:dyDescent="0.25">
      <c r="B6" t="s">
        <v>11</v>
      </c>
      <c r="C6" s="10"/>
      <c r="D6" s="10">
        <f>-D5*D66</f>
        <v>-85303.4</v>
      </c>
      <c r="E6" s="10">
        <f t="shared" ref="E6:H6" si="1">-E5*E66</f>
        <v>-89568.569999999992</v>
      </c>
      <c r="F6" s="10">
        <f t="shared" si="1"/>
        <v>-89271</v>
      </c>
      <c r="G6" s="10">
        <f t="shared" si="1"/>
        <v>-89518.975000000006</v>
      </c>
      <c r="H6" s="10">
        <f t="shared" si="1"/>
        <v>-94230.5</v>
      </c>
    </row>
    <row r="7" spans="1:8" x14ac:dyDescent="0.25">
      <c r="B7" s="3" t="s">
        <v>14</v>
      </c>
      <c r="C7" s="11"/>
      <c r="D7" s="11">
        <f>SUM(D5:D6)</f>
        <v>113076.6</v>
      </c>
      <c r="E7" s="11">
        <f t="shared" ref="E7:H7" si="2">SUM(E5:E6)</f>
        <v>118730.43000000001</v>
      </c>
      <c r="F7" s="11">
        <f t="shared" si="2"/>
        <v>133906.5</v>
      </c>
      <c r="G7" s="11">
        <f t="shared" si="2"/>
        <v>146057.27499999999</v>
      </c>
      <c r="H7" s="11">
        <f t="shared" si="2"/>
        <v>153744.5</v>
      </c>
    </row>
    <row r="8" spans="1:8" x14ac:dyDescent="0.25">
      <c r="B8" t="s">
        <v>12</v>
      </c>
      <c r="C8" s="10"/>
      <c r="D8" s="10">
        <f>-D5*D67</f>
        <v>-69433</v>
      </c>
      <c r="E8" s="10">
        <f t="shared" ref="E8:H8" si="3">-E5*E67</f>
        <v>-72904.649999999994</v>
      </c>
      <c r="F8" s="10">
        <f t="shared" si="3"/>
        <v>-78112.125</v>
      </c>
      <c r="G8" s="10">
        <f t="shared" si="3"/>
        <v>-82451.6875</v>
      </c>
      <c r="H8" s="10">
        <f t="shared" si="3"/>
        <v>-86791.25</v>
      </c>
    </row>
    <row r="9" spans="1:8" x14ac:dyDescent="0.25">
      <c r="B9" t="s">
        <v>15</v>
      </c>
      <c r="C9" s="13"/>
      <c r="D9" s="13">
        <f>-D98</f>
        <v>-4899</v>
      </c>
      <c r="E9" s="13">
        <f t="shared" ref="E9:H9" si="4">-E98</f>
        <v>-4899</v>
      </c>
      <c r="F9" s="13">
        <f t="shared" si="4"/>
        <v>-4899</v>
      </c>
      <c r="G9" s="13">
        <f t="shared" si="4"/>
        <v>-4899</v>
      </c>
      <c r="H9" s="13">
        <f t="shared" si="4"/>
        <v>-4899</v>
      </c>
    </row>
    <row r="10" spans="1:8" x14ac:dyDescent="0.25">
      <c r="B10" s="3" t="s">
        <v>16</v>
      </c>
      <c r="C10" s="11"/>
      <c r="D10" s="11">
        <f>SUM(D7:D9)</f>
        <v>38744.600000000006</v>
      </c>
      <c r="E10" s="11">
        <f t="shared" ref="E10:H10" si="5">SUM(E7:E8)</f>
        <v>45825.780000000013</v>
      </c>
      <c r="F10" s="11">
        <f t="shared" si="5"/>
        <v>55794.375</v>
      </c>
      <c r="G10" s="11">
        <f t="shared" si="5"/>
        <v>63605.587499999994</v>
      </c>
      <c r="H10" s="11">
        <f t="shared" si="5"/>
        <v>66953.25</v>
      </c>
    </row>
    <row r="11" spans="1:8" x14ac:dyDescent="0.25">
      <c r="B11" t="s">
        <v>54</v>
      </c>
      <c r="C11" s="13"/>
      <c r="D11" s="13">
        <f>-D81</f>
        <v>-2800.0000000000005</v>
      </c>
      <c r="E11" s="13">
        <f t="shared" ref="E11:H11" si="6">-E81</f>
        <v>-2800.0000000000005</v>
      </c>
      <c r="F11" s="13">
        <f t="shared" si="6"/>
        <v>-2800.0000000000005</v>
      </c>
      <c r="G11" s="13">
        <f t="shared" si="6"/>
        <v>-2800.0000000000005</v>
      </c>
      <c r="H11" s="13">
        <f t="shared" si="6"/>
        <v>-2800.0000000000005</v>
      </c>
    </row>
    <row r="12" spans="1:8" x14ac:dyDescent="0.25">
      <c r="B12" s="3" t="s">
        <v>18</v>
      </c>
      <c r="C12" s="11"/>
      <c r="D12" s="11">
        <f>SUM(D10:D11)</f>
        <v>35944.600000000006</v>
      </c>
      <c r="E12" s="11">
        <f t="shared" ref="E12:H12" si="7">SUM(E10:E11)</f>
        <v>43025.780000000013</v>
      </c>
      <c r="F12" s="11">
        <f t="shared" si="7"/>
        <v>52994.375</v>
      </c>
      <c r="G12" s="11">
        <f t="shared" si="7"/>
        <v>60805.587499999994</v>
      </c>
      <c r="H12" s="11">
        <f t="shared" si="7"/>
        <v>64153.25</v>
      </c>
    </row>
    <row r="13" spans="1:8" x14ac:dyDescent="0.25">
      <c r="B13" t="s">
        <v>19</v>
      </c>
      <c r="C13" s="10"/>
      <c r="D13" s="10">
        <f>-IF(D12&gt;0,D12*D69,0)</f>
        <v>-7548.3660000000009</v>
      </c>
      <c r="E13" s="10">
        <f t="shared" ref="E13:H13" si="8">-IF(E12&gt;0,E12*E69,0)</f>
        <v>-9035.4138000000021</v>
      </c>
      <c r="F13" s="10">
        <f t="shared" si="8"/>
        <v>-11128.81875</v>
      </c>
      <c r="G13" s="10">
        <f t="shared" si="8"/>
        <v>-12769.173374999998</v>
      </c>
      <c r="H13" s="10">
        <f t="shared" si="8"/>
        <v>-13472.182499999999</v>
      </c>
    </row>
    <row r="14" spans="1:8" x14ac:dyDescent="0.25">
      <c r="B14" s="4" t="s">
        <v>20</v>
      </c>
      <c r="C14" s="12"/>
      <c r="D14" s="12">
        <f>SUM(D12:D13)</f>
        <v>28396.234000000004</v>
      </c>
      <c r="E14" s="12">
        <f t="shared" ref="E14:H14" si="9">SUM(E12:E13)</f>
        <v>33990.366200000011</v>
      </c>
      <c r="F14" s="12">
        <f t="shared" si="9"/>
        <v>41865.556250000001</v>
      </c>
      <c r="G14" s="12">
        <f t="shared" si="9"/>
        <v>48036.414124999996</v>
      </c>
      <c r="H14" s="12">
        <f t="shared" si="9"/>
        <v>50681.067500000005</v>
      </c>
    </row>
    <row r="16" spans="1:8" x14ac:dyDescent="0.25">
      <c r="A16" t="s">
        <v>55</v>
      </c>
      <c r="B16" s="5" t="s">
        <v>1</v>
      </c>
      <c r="C16" s="5"/>
      <c r="D16" s="5"/>
      <c r="E16" s="5"/>
      <c r="F16" s="5"/>
      <c r="G16" s="5"/>
      <c r="H16" s="5"/>
    </row>
    <row r="17" spans="2:8" x14ac:dyDescent="0.25">
      <c r="B17" s="2" t="s">
        <v>79</v>
      </c>
      <c r="C17" s="6">
        <v>2023</v>
      </c>
      <c r="D17" s="7">
        <f>C17+1</f>
        <v>2024</v>
      </c>
      <c r="E17" s="7">
        <f>D17+1</f>
        <v>2025</v>
      </c>
      <c r="F17" s="7">
        <f>E17+1</f>
        <v>2026</v>
      </c>
      <c r="G17" s="7">
        <f>F17+1</f>
        <v>2027</v>
      </c>
      <c r="H17" s="7">
        <f>G17+1</f>
        <v>2028</v>
      </c>
    </row>
    <row r="18" spans="2:8" x14ac:dyDescent="0.25">
      <c r="B18" t="s">
        <v>21</v>
      </c>
      <c r="C18" s="13">
        <v>14589</v>
      </c>
      <c r="D18" s="48">
        <f>C59</f>
        <v>23347.938881233058</v>
      </c>
      <c r="E18" s="48">
        <f t="shared" ref="E18:H18" si="10">D59</f>
        <v>16502.26354554417</v>
      </c>
      <c r="F18" s="48">
        <f t="shared" si="10"/>
        <v>38174.834203034057</v>
      </c>
      <c r="G18" s="48">
        <f t="shared" si="10"/>
        <v>63686.902988459158</v>
      </c>
      <c r="H18" s="48">
        <f t="shared" si="10"/>
        <v>88223.409036535959</v>
      </c>
    </row>
    <row r="19" spans="2:8" x14ac:dyDescent="0.25">
      <c r="B19" t="s">
        <v>22</v>
      </c>
      <c r="C19" s="13">
        <v>9877</v>
      </c>
      <c r="D19" s="10">
        <f>D71*D75</f>
        <v>12323.498304999466</v>
      </c>
      <c r="E19" s="10">
        <f t="shared" ref="E19:H19" si="11">E71*E75</f>
        <v>9877</v>
      </c>
      <c r="F19" s="10">
        <f t="shared" si="11"/>
        <v>9877</v>
      </c>
      <c r="G19" s="10">
        <f t="shared" si="11"/>
        <v>9877</v>
      </c>
      <c r="H19" s="10">
        <f t="shared" si="11"/>
        <v>9877</v>
      </c>
    </row>
    <row r="20" spans="2:8" x14ac:dyDescent="0.25">
      <c r="B20" t="s">
        <v>4</v>
      </c>
      <c r="C20" s="13">
        <v>8579</v>
      </c>
      <c r="D20" s="10">
        <f>D72*D76</f>
        <v>9643.2667264030351</v>
      </c>
      <c r="E20" s="10">
        <f t="shared" ref="E20:H20" si="12">E72*E76</f>
        <v>10125.430062723188</v>
      </c>
      <c r="F20" s="10">
        <f t="shared" si="12"/>
        <v>10091.790760189224</v>
      </c>
      <c r="G20" s="10">
        <f t="shared" si="12"/>
        <v>10119.823512300862</v>
      </c>
      <c r="H20" s="10">
        <f t="shared" si="12"/>
        <v>10652.445802421958</v>
      </c>
    </row>
    <row r="21" spans="2:8" x14ac:dyDescent="0.25">
      <c r="B21" s="3" t="s">
        <v>23</v>
      </c>
      <c r="C21" s="11">
        <f>SUM(C18:C20)</f>
        <v>33045</v>
      </c>
      <c r="D21" s="11">
        <f t="shared" ref="D21:H21" si="13">SUM(D18:D20)</f>
        <v>45314.703912635552</v>
      </c>
      <c r="E21" s="11">
        <f t="shared" si="13"/>
        <v>36504.693608267356</v>
      </c>
      <c r="F21" s="11">
        <f t="shared" si="13"/>
        <v>58143.624963223279</v>
      </c>
      <c r="G21" s="11">
        <f t="shared" si="13"/>
        <v>83683.726500760022</v>
      </c>
      <c r="H21" s="11">
        <f t="shared" si="13"/>
        <v>108752.85483895792</v>
      </c>
    </row>
    <row r="22" spans="2:8" x14ac:dyDescent="0.25">
      <c r="B22" t="s">
        <v>24</v>
      </c>
      <c r="C22" s="13">
        <v>48990</v>
      </c>
      <c r="D22" s="10">
        <f>C105</f>
        <v>52692</v>
      </c>
      <c r="E22" s="10">
        <f t="shared" ref="E22:H22" si="14">D105</f>
        <v>-498</v>
      </c>
      <c r="F22" s="10">
        <f t="shared" si="14"/>
        <v>-3498</v>
      </c>
      <c r="G22" s="10">
        <f t="shared" si="14"/>
        <v>-6748</v>
      </c>
      <c r="H22" s="10">
        <f t="shared" si="14"/>
        <v>-7498</v>
      </c>
    </row>
    <row r="23" spans="2:8" x14ac:dyDescent="0.25">
      <c r="B23" s="4" t="s">
        <v>25</v>
      </c>
      <c r="C23" s="12">
        <f>SUM(C21:C22)</f>
        <v>82035</v>
      </c>
      <c r="D23" s="12">
        <f t="shared" ref="D23:H23" si="15">SUM(D21:D22)</f>
        <v>98006.703912635552</v>
      </c>
      <c r="E23" s="12">
        <f t="shared" si="15"/>
        <v>36006.693608267356</v>
      </c>
      <c r="F23" s="12">
        <f t="shared" si="15"/>
        <v>54645.624963223279</v>
      </c>
      <c r="G23" s="12">
        <f t="shared" si="15"/>
        <v>76935.726500760022</v>
      </c>
      <c r="H23" s="12">
        <f t="shared" si="15"/>
        <v>101254.85483895792</v>
      </c>
    </row>
    <row r="25" spans="2:8" x14ac:dyDescent="0.25">
      <c r="B25" t="s">
        <v>26</v>
      </c>
      <c r="C25" s="13">
        <v>14880</v>
      </c>
      <c r="D25" s="10">
        <f>D72*D77</f>
        <v>16725.936459829485</v>
      </c>
      <c r="E25" s="10">
        <f t="shared" ref="E25:H25" si="16">E72*E77</f>
        <v>17562.233282820962</v>
      </c>
      <c r="F25" s="10">
        <f t="shared" si="16"/>
        <v>17503.886992844811</v>
      </c>
      <c r="G25" s="10">
        <f t="shared" si="16"/>
        <v>17552.508901158271</v>
      </c>
      <c r="H25" s="10">
        <f t="shared" si="16"/>
        <v>18476.325159113971</v>
      </c>
    </row>
    <row r="26" spans="2:8" x14ac:dyDescent="0.25">
      <c r="B26" t="s">
        <v>27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</row>
    <row r="27" spans="2:8" x14ac:dyDescent="0.25">
      <c r="B27" s="3" t="s">
        <v>28</v>
      </c>
      <c r="C27" s="11">
        <f>SUM(C25,C26)</f>
        <v>14880</v>
      </c>
      <c r="D27" s="11">
        <f t="shared" ref="D27:H27" si="17">SUM(D25,D26)</f>
        <v>16725.936459829485</v>
      </c>
      <c r="E27" s="11">
        <f t="shared" si="17"/>
        <v>17562.233282820962</v>
      </c>
      <c r="F27" s="11">
        <f t="shared" si="17"/>
        <v>17503.886992844811</v>
      </c>
      <c r="G27" s="11">
        <f t="shared" si="17"/>
        <v>17552.508901158271</v>
      </c>
      <c r="H27" s="11">
        <f t="shared" si="17"/>
        <v>18476.325159113971</v>
      </c>
    </row>
    <row r="29" spans="2:8" x14ac:dyDescent="0.25">
      <c r="B29" t="s">
        <v>29</v>
      </c>
      <c r="C29" s="13">
        <v>40000</v>
      </c>
      <c r="D29" s="13">
        <v>40000</v>
      </c>
      <c r="E29" s="13">
        <v>40000</v>
      </c>
      <c r="F29" s="13">
        <v>40000</v>
      </c>
      <c r="G29" s="13">
        <v>40000</v>
      </c>
      <c r="H29" s="13">
        <v>40000</v>
      </c>
    </row>
    <row r="30" spans="2:8" x14ac:dyDescent="0.25">
      <c r="B30" s="8" t="s">
        <v>30</v>
      </c>
      <c r="C30" s="14">
        <f>SUM(C27:C29)</f>
        <v>54880</v>
      </c>
      <c r="D30" s="14">
        <f>SUM(D27:D29)</f>
        <v>56725.936459829485</v>
      </c>
      <c r="E30" s="14">
        <f>SUM(E27:E29)</f>
        <v>57562.233282820962</v>
      </c>
      <c r="F30" s="14">
        <f t="shared" ref="F30:H30" si="18">SUM(F27:F29)</f>
        <v>57503.886992844811</v>
      </c>
      <c r="G30" s="14">
        <f t="shared" si="18"/>
        <v>57552.508901158275</v>
      </c>
      <c r="H30" s="14">
        <f t="shared" si="18"/>
        <v>58476.325159113971</v>
      </c>
    </row>
    <row r="32" spans="2:8" x14ac:dyDescent="0.25">
      <c r="B32" t="s">
        <v>31</v>
      </c>
      <c r="C32" s="13">
        <v>25000</v>
      </c>
      <c r="D32" s="10">
        <f>C32</f>
        <v>25000</v>
      </c>
      <c r="E32" s="10"/>
      <c r="F32" s="10"/>
      <c r="G32" s="10"/>
      <c r="H32" s="10"/>
    </row>
    <row r="33" spans="1:8" x14ac:dyDescent="0.25">
      <c r="B33" t="s">
        <v>10</v>
      </c>
      <c r="C33" s="13">
        <f>24155-22000</f>
        <v>2155</v>
      </c>
      <c r="D33" s="10">
        <f>D111</f>
        <v>20551.234000000004</v>
      </c>
      <c r="E33" s="10"/>
      <c r="F33" s="10">
        <f t="shared" ref="E33:H33" si="19">F111</f>
        <v>68907.156450000009</v>
      </c>
      <c r="G33" s="10">
        <f t="shared" si="19"/>
        <v>96943.570575000005</v>
      </c>
      <c r="H33" s="10">
        <f t="shared" si="19"/>
        <v>122624.63807500002</v>
      </c>
    </row>
    <row r="34" spans="1:8" x14ac:dyDescent="0.25">
      <c r="B34" s="8" t="s">
        <v>32</v>
      </c>
      <c r="C34" s="14">
        <f>SUM(C32:C33)</f>
        <v>27155</v>
      </c>
      <c r="D34" s="14">
        <f t="shared" ref="D34:H34" si="20">SUM(D32:D33)</f>
        <v>45551.234000000004</v>
      </c>
      <c r="E34" s="14">
        <f t="shared" si="20"/>
        <v>0</v>
      </c>
      <c r="F34" s="14">
        <f t="shared" si="20"/>
        <v>68907.156450000009</v>
      </c>
      <c r="G34" s="14">
        <f t="shared" si="20"/>
        <v>96943.570575000005</v>
      </c>
      <c r="H34" s="14">
        <f t="shared" si="20"/>
        <v>122624.63807500002</v>
      </c>
    </row>
    <row r="36" spans="1:8" x14ac:dyDescent="0.25">
      <c r="B36" s="4" t="s">
        <v>33</v>
      </c>
      <c r="C36" s="12">
        <f>SUM(C30,C34)</f>
        <v>82035</v>
      </c>
      <c r="D36" s="12">
        <f t="shared" ref="D36:H36" si="21">SUM(D30,D34)</f>
        <v>102277.17045982949</v>
      </c>
      <c r="E36" s="12">
        <f t="shared" si="21"/>
        <v>57562.233282820962</v>
      </c>
      <c r="F36" s="12">
        <f t="shared" si="21"/>
        <v>126411.04344284482</v>
      </c>
      <c r="G36" s="12">
        <f t="shared" si="21"/>
        <v>154496.07947615828</v>
      </c>
      <c r="H36" s="12">
        <f t="shared" si="21"/>
        <v>181100.96323411399</v>
      </c>
    </row>
    <row r="38" spans="1:8" x14ac:dyDescent="0.25">
      <c r="B38" s="23" t="s">
        <v>34</v>
      </c>
      <c r="C38" s="24"/>
      <c r="D38" s="24"/>
      <c r="E38" s="24"/>
      <c r="F38" s="24"/>
      <c r="G38" s="24"/>
      <c r="H38" s="24"/>
    </row>
    <row r="40" spans="1:8" x14ac:dyDescent="0.25">
      <c r="A40" t="s">
        <v>55</v>
      </c>
      <c r="B40" s="5" t="s">
        <v>2</v>
      </c>
      <c r="C40" s="5"/>
      <c r="D40" s="5"/>
      <c r="E40" s="5"/>
      <c r="F40" s="5"/>
      <c r="G40" s="5"/>
      <c r="H40" s="5"/>
    </row>
    <row r="41" spans="1:8" x14ac:dyDescent="0.25">
      <c r="B41" t="s">
        <v>20</v>
      </c>
      <c r="C41" s="10">
        <f>D14</f>
        <v>28396.234000000004</v>
      </c>
      <c r="D41" s="10">
        <f t="shared" ref="D41:H41" si="22">E14</f>
        <v>33990.366200000011</v>
      </c>
      <c r="E41" s="10">
        <f t="shared" si="22"/>
        <v>41865.556250000001</v>
      </c>
      <c r="F41" s="10">
        <f t="shared" si="22"/>
        <v>48036.414124999996</v>
      </c>
      <c r="G41" s="10">
        <f t="shared" si="22"/>
        <v>50681.067500000005</v>
      </c>
      <c r="H41" s="10">
        <f t="shared" si="22"/>
        <v>0</v>
      </c>
    </row>
    <row r="42" spans="1:8" x14ac:dyDescent="0.25">
      <c r="B42" t="s">
        <v>15</v>
      </c>
      <c r="C42" s="10">
        <f>-D9</f>
        <v>4899</v>
      </c>
      <c r="D42" s="10">
        <f t="shared" ref="D42:H42" si="23">-E9</f>
        <v>4899</v>
      </c>
      <c r="E42" s="10">
        <f t="shared" si="23"/>
        <v>4899</v>
      </c>
      <c r="F42" s="10">
        <f t="shared" si="23"/>
        <v>4899</v>
      </c>
      <c r="G42" s="10">
        <f t="shared" si="23"/>
        <v>4899</v>
      </c>
      <c r="H42" s="10">
        <f t="shared" si="23"/>
        <v>0</v>
      </c>
    </row>
    <row r="43" spans="1:8" x14ac:dyDescent="0.25">
      <c r="B43" t="s">
        <v>35</v>
      </c>
      <c r="C43" s="10">
        <f>C19-D19</f>
        <v>-2446.4983049994662</v>
      </c>
      <c r="D43" s="10">
        <f t="shared" ref="D43:H43" si="24">D19-E19</f>
        <v>2446.4983049994662</v>
      </c>
      <c r="E43" s="10">
        <f t="shared" si="24"/>
        <v>0</v>
      </c>
      <c r="F43" s="10">
        <f t="shared" si="24"/>
        <v>0</v>
      </c>
      <c r="G43" s="10">
        <f t="shared" si="24"/>
        <v>0</v>
      </c>
      <c r="H43" s="10">
        <f t="shared" si="24"/>
        <v>9877</v>
      </c>
    </row>
    <row r="44" spans="1:8" x14ac:dyDescent="0.25">
      <c r="B44" t="s">
        <v>36</v>
      </c>
      <c r="C44" s="10">
        <f>D20-C20</f>
        <v>1064.2667264030351</v>
      </c>
      <c r="D44" s="10">
        <f t="shared" ref="D44:H44" si="25">E20-D20</f>
        <v>482.16333632015267</v>
      </c>
      <c r="E44" s="10">
        <f t="shared" si="25"/>
        <v>-33.639302533963928</v>
      </c>
      <c r="F44" s="10">
        <f t="shared" si="25"/>
        <v>28.032752111637819</v>
      </c>
      <c r="G44" s="10">
        <f t="shared" si="25"/>
        <v>532.62229012109674</v>
      </c>
      <c r="H44" s="10">
        <f t="shared" si="25"/>
        <v>-10652.445802421958</v>
      </c>
    </row>
    <row r="45" spans="1:8" x14ac:dyDescent="0.25">
      <c r="B45" t="s">
        <v>37</v>
      </c>
      <c r="C45" s="10">
        <f>D25-C25</f>
        <v>1845.9364598294851</v>
      </c>
      <c r="D45" s="10">
        <f t="shared" ref="D45:H45" si="26">E25-D25</f>
        <v>836.2968229914768</v>
      </c>
      <c r="E45" s="10">
        <f t="shared" si="26"/>
        <v>-58.346289976150729</v>
      </c>
      <c r="F45" s="10">
        <f t="shared" si="26"/>
        <v>48.621908313460153</v>
      </c>
      <c r="G45" s="10">
        <f t="shared" si="26"/>
        <v>923.81625795569926</v>
      </c>
      <c r="H45" s="10">
        <f t="shared" si="26"/>
        <v>-18476.325159113971</v>
      </c>
    </row>
    <row r="46" spans="1:8" x14ac:dyDescent="0.25">
      <c r="B46" s="8" t="s">
        <v>5</v>
      </c>
      <c r="C46" s="14">
        <f>SUM(C41:C45)</f>
        <v>33758.938881233058</v>
      </c>
      <c r="D46" s="14">
        <f t="shared" ref="D46:H46" si="27">SUM(D41:D45)</f>
        <v>42654.324664311112</v>
      </c>
      <c r="E46" s="14">
        <f t="shared" si="27"/>
        <v>46672.570657489887</v>
      </c>
      <c r="F46" s="14">
        <f t="shared" si="27"/>
        <v>53012.068785425101</v>
      </c>
      <c r="G46" s="14">
        <f t="shared" si="27"/>
        <v>57036.506048076801</v>
      </c>
      <c r="H46" s="14">
        <f t="shared" si="27"/>
        <v>-19251.770961535927</v>
      </c>
    </row>
    <row r="48" spans="1:8" x14ac:dyDescent="0.25">
      <c r="B48" t="s">
        <v>38</v>
      </c>
      <c r="C48" s="10">
        <f>-D85</f>
        <v>-15000</v>
      </c>
      <c r="D48" s="10">
        <f t="shared" ref="D48:H48" si="28">-E85</f>
        <v>-12000</v>
      </c>
      <c r="E48" s="10">
        <f t="shared" si="28"/>
        <v>-10000</v>
      </c>
      <c r="F48" s="10">
        <f t="shared" si="28"/>
        <v>-7500</v>
      </c>
      <c r="G48" s="10">
        <f t="shared" si="28"/>
        <v>-7500</v>
      </c>
      <c r="H48" s="10">
        <f t="shared" si="28"/>
        <v>0</v>
      </c>
    </row>
    <row r="49" spans="1:8" x14ac:dyDescent="0.25">
      <c r="B49" s="8" t="s">
        <v>6</v>
      </c>
      <c r="C49" s="14">
        <f>C48</f>
        <v>-15000</v>
      </c>
      <c r="D49" s="14">
        <f t="shared" ref="D49:H49" si="29">D48</f>
        <v>-12000</v>
      </c>
      <c r="E49" s="14">
        <f t="shared" si="29"/>
        <v>-10000</v>
      </c>
      <c r="F49" s="14">
        <f t="shared" si="29"/>
        <v>-7500</v>
      </c>
      <c r="G49" s="14">
        <f t="shared" si="29"/>
        <v>-7500</v>
      </c>
      <c r="H49" s="14">
        <f t="shared" si="29"/>
        <v>0</v>
      </c>
    </row>
    <row r="51" spans="1:8" x14ac:dyDescent="0.25">
      <c r="B51" t="s">
        <v>39</v>
      </c>
      <c r="C51" s="10">
        <f>D29-C29</f>
        <v>0</v>
      </c>
      <c r="D51" s="10">
        <f t="shared" ref="D51:H51" si="30">E29-D29</f>
        <v>0</v>
      </c>
      <c r="E51" s="10">
        <f t="shared" si="30"/>
        <v>0</v>
      </c>
      <c r="F51" s="10">
        <f t="shared" si="30"/>
        <v>0</v>
      </c>
      <c r="G51" s="10">
        <f t="shared" si="30"/>
        <v>0</v>
      </c>
      <c r="H51" s="10">
        <f t="shared" si="30"/>
        <v>-40000</v>
      </c>
    </row>
    <row r="52" spans="1:8" x14ac:dyDescent="0.25">
      <c r="B52" t="s">
        <v>40</v>
      </c>
      <c r="C52" s="10">
        <f>D26-C26</f>
        <v>0</v>
      </c>
      <c r="D52" s="10">
        <f t="shared" ref="D52:H52" si="31">E26-D26</f>
        <v>0</v>
      </c>
      <c r="E52" s="10">
        <f t="shared" si="31"/>
        <v>0</v>
      </c>
      <c r="F52" s="10">
        <f t="shared" si="31"/>
        <v>0</v>
      </c>
      <c r="G52" s="10">
        <f t="shared" si="31"/>
        <v>0</v>
      </c>
      <c r="H52" s="10">
        <f t="shared" si="31"/>
        <v>0</v>
      </c>
    </row>
    <row r="53" spans="1:8" x14ac:dyDescent="0.25">
      <c r="B53" t="s">
        <v>41</v>
      </c>
      <c r="C53" s="10">
        <f>D32-C32</f>
        <v>0</v>
      </c>
      <c r="D53" s="10">
        <f t="shared" ref="D53:H53" si="32">E32-D32</f>
        <v>-25000</v>
      </c>
      <c r="E53" s="10">
        <f t="shared" si="32"/>
        <v>0</v>
      </c>
      <c r="F53" s="10">
        <f t="shared" si="32"/>
        <v>0</v>
      </c>
      <c r="G53" s="10">
        <f t="shared" si="32"/>
        <v>0</v>
      </c>
      <c r="H53" s="10">
        <f t="shared" si="32"/>
        <v>0</v>
      </c>
    </row>
    <row r="54" spans="1:8" x14ac:dyDescent="0.25">
      <c r="B54" t="s">
        <v>42</v>
      </c>
      <c r="C54" s="10">
        <f>D110</f>
        <v>-10000</v>
      </c>
      <c r="D54" s="10">
        <f t="shared" ref="D54:H54" si="33">E110</f>
        <v>-12500</v>
      </c>
      <c r="E54" s="10">
        <f t="shared" si="33"/>
        <v>-15000</v>
      </c>
      <c r="F54" s="10">
        <f t="shared" si="33"/>
        <v>-20000</v>
      </c>
      <c r="G54" s="10">
        <f t="shared" si="33"/>
        <v>-25000</v>
      </c>
      <c r="H54" s="10">
        <f t="shared" si="33"/>
        <v>0</v>
      </c>
    </row>
    <row r="55" spans="1:8" x14ac:dyDescent="0.25">
      <c r="B55" s="8" t="s">
        <v>7</v>
      </c>
      <c r="C55" s="8">
        <f>SUM(C50:C54)</f>
        <v>-10000</v>
      </c>
      <c r="D55" s="8">
        <f t="shared" ref="D55:H55" si="34">SUM(D50:D54)</f>
        <v>-37500</v>
      </c>
      <c r="E55" s="8">
        <f t="shared" si="34"/>
        <v>-15000</v>
      </c>
      <c r="F55" s="8">
        <f t="shared" si="34"/>
        <v>-20000</v>
      </c>
      <c r="G55" s="8">
        <f t="shared" si="34"/>
        <v>-25000</v>
      </c>
      <c r="H55" s="8">
        <f t="shared" si="34"/>
        <v>-40000</v>
      </c>
    </row>
    <row r="57" spans="1:8" x14ac:dyDescent="0.25">
      <c r="B57" t="s">
        <v>50</v>
      </c>
      <c r="C57" s="10">
        <f>C18</f>
        <v>14589</v>
      </c>
      <c r="D57" s="10">
        <f t="shared" ref="D57:H57" si="35">D18</f>
        <v>23347.938881233058</v>
      </c>
      <c r="E57" s="10">
        <f t="shared" si="35"/>
        <v>16502.26354554417</v>
      </c>
      <c r="F57" s="10">
        <f t="shared" si="35"/>
        <v>38174.834203034057</v>
      </c>
      <c r="G57" s="10">
        <f t="shared" si="35"/>
        <v>63686.902988459158</v>
      </c>
      <c r="H57" s="10">
        <f t="shared" si="35"/>
        <v>88223.409036535959</v>
      </c>
    </row>
    <row r="58" spans="1:8" x14ac:dyDescent="0.25">
      <c r="B58" s="4" t="s">
        <v>9</v>
      </c>
      <c r="C58" s="12">
        <f>C46+C49+C55</f>
        <v>8758.9388812330581</v>
      </c>
      <c r="D58" s="12">
        <f t="shared" ref="D58:H58" si="36">D46+D49+D55</f>
        <v>-6845.6753356888876</v>
      </c>
      <c r="E58" s="12">
        <f t="shared" si="36"/>
        <v>21672.570657489887</v>
      </c>
      <c r="F58" s="12">
        <f t="shared" si="36"/>
        <v>25512.068785425101</v>
      </c>
      <c r="G58" s="12">
        <f t="shared" si="36"/>
        <v>24536.506048076801</v>
      </c>
      <c r="H58" s="12">
        <f t="shared" si="36"/>
        <v>-59251.770961535927</v>
      </c>
    </row>
    <row r="59" spans="1:8" x14ac:dyDescent="0.25">
      <c r="B59" t="s">
        <v>49</v>
      </c>
      <c r="C59" s="10">
        <f>C57+C58</f>
        <v>23347.938881233058</v>
      </c>
      <c r="D59" s="10">
        <f t="shared" ref="D59:H59" si="37">D57+D58</f>
        <v>16502.26354554417</v>
      </c>
      <c r="E59" s="10">
        <f t="shared" si="37"/>
        <v>38174.834203034057</v>
      </c>
      <c r="F59" s="10">
        <f t="shared" si="37"/>
        <v>63686.902988459158</v>
      </c>
      <c r="G59" s="10">
        <f t="shared" si="37"/>
        <v>88223.409036535959</v>
      </c>
      <c r="H59" s="10">
        <f t="shared" si="37"/>
        <v>28971.638075000032</v>
      </c>
    </row>
    <row r="60" spans="1:8" x14ac:dyDescent="0.25">
      <c r="B60" s="1"/>
      <c r="C60" s="20"/>
      <c r="D60" s="20"/>
      <c r="E60" s="20"/>
      <c r="F60" s="20"/>
      <c r="G60" s="20"/>
      <c r="H60" s="20"/>
    </row>
    <row r="61" spans="1:8" x14ac:dyDescent="0.25">
      <c r="A61" t="s">
        <v>55</v>
      </c>
      <c r="B61" s="5" t="s">
        <v>44</v>
      </c>
      <c r="C61" s="5"/>
      <c r="D61" s="5"/>
      <c r="E61" s="5"/>
      <c r="F61" s="5"/>
      <c r="G61" s="5"/>
      <c r="H61" s="5"/>
    </row>
    <row r="62" spans="1:8" x14ac:dyDescent="0.25">
      <c r="B62" s="26" t="s">
        <v>47</v>
      </c>
      <c r="C62" s="9"/>
      <c r="D62" s="9"/>
      <c r="E62" s="9"/>
      <c r="F62" s="9"/>
      <c r="G62" s="9"/>
      <c r="H62" s="9"/>
    </row>
    <row r="63" spans="1:8" x14ac:dyDescent="0.25">
      <c r="B63" t="s">
        <v>56</v>
      </c>
      <c r="C63" s="21"/>
      <c r="D63" s="21">
        <v>400</v>
      </c>
      <c r="E63" s="21">
        <v>420</v>
      </c>
      <c r="F63" s="21">
        <v>450</v>
      </c>
      <c r="G63" s="21">
        <v>475</v>
      </c>
      <c r="H63" s="21">
        <v>500</v>
      </c>
    </row>
    <row r="64" spans="1:8" x14ac:dyDescent="0.25">
      <c r="B64" t="s">
        <v>57</v>
      </c>
      <c r="C64" s="21"/>
      <c r="D64" s="21">
        <v>495.95</v>
      </c>
      <c r="E64" s="21">
        <v>495.95</v>
      </c>
      <c r="F64" s="21">
        <v>495.95</v>
      </c>
      <c r="G64" s="21">
        <v>495.95</v>
      </c>
      <c r="H64" s="21">
        <v>495.95</v>
      </c>
    </row>
    <row r="66" spans="2:8" x14ac:dyDescent="0.25">
      <c r="B66" t="s">
        <v>59</v>
      </c>
      <c r="C66" s="19"/>
      <c r="D66" s="19">
        <v>0.43</v>
      </c>
      <c r="E66" s="19">
        <v>0.43</v>
      </c>
      <c r="F66" s="19">
        <v>0.4</v>
      </c>
      <c r="G66" s="19">
        <v>0.38</v>
      </c>
      <c r="H66" s="19">
        <v>0.38</v>
      </c>
    </row>
    <row r="67" spans="2:8" x14ac:dyDescent="0.25">
      <c r="B67" t="s">
        <v>58</v>
      </c>
      <c r="C67" s="19"/>
      <c r="D67" s="19">
        <v>0.35</v>
      </c>
      <c r="E67" s="18">
        <v>0.35</v>
      </c>
      <c r="F67" s="18">
        <v>0.35</v>
      </c>
      <c r="G67" s="18">
        <v>0.35</v>
      </c>
      <c r="H67" s="18">
        <v>0.35</v>
      </c>
    </row>
    <row r="68" spans="2:8" x14ac:dyDescent="0.25">
      <c r="C68" s="16"/>
      <c r="D68" s="17"/>
      <c r="E68" s="17"/>
      <c r="F68" s="17"/>
      <c r="G68" s="17"/>
      <c r="H68" s="17"/>
    </row>
    <row r="69" spans="2:8" x14ac:dyDescent="0.25">
      <c r="B69" t="s">
        <v>46</v>
      </c>
      <c r="C69" s="18"/>
      <c r="D69" s="18">
        <v>0.21</v>
      </c>
      <c r="E69" s="18">
        <v>0.21</v>
      </c>
      <c r="F69" s="18">
        <v>0.21</v>
      </c>
      <c r="G69" s="18">
        <v>0.21</v>
      </c>
      <c r="H69" s="18">
        <v>0.21</v>
      </c>
    </row>
    <row r="71" spans="2:8" x14ac:dyDescent="0.25">
      <c r="B71" t="s">
        <v>3</v>
      </c>
      <c r="C71" s="13">
        <v>158997</v>
      </c>
      <c r="D71" s="13">
        <f>D5</f>
        <v>198380</v>
      </c>
      <c r="E71" s="13">
        <v>158997</v>
      </c>
      <c r="F71" s="13">
        <v>158997</v>
      </c>
      <c r="G71" s="13">
        <v>158997</v>
      </c>
      <c r="H71" s="13">
        <v>158997</v>
      </c>
    </row>
    <row r="72" spans="2:8" x14ac:dyDescent="0.25">
      <c r="B72" t="s">
        <v>65</v>
      </c>
      <c r="C72" s="13">
        <v>75889</v>
      </c>
      <c r="D72" s="10">
        <f>-D6</f>
        <v>85303.4</v>
      </c>
      <c r="E72" s="10">
        <f t="shared" ref="E72:H72" si="38">-E6</f>
        <v>89568.569999999992</v>
      </c>
      <c r="F72" s="10">
        <f t="shared" si="38"/>
        <v>89271</v>
      </c>
      <c r="G72" s="10">
        <f t="shared" si="38"/>
        <v>89518.975000000006</v>
      </c>
      <c r="H72" s="10">
        <f t="shared" si="38"/>
        <v>94230.5</v>
      </c>
    </row>
    <row r="74" spans="2:8" x14ac:dyDescent="0.25">
      <c r="B74" s="26" t="s">
        <v>48</v>
      </c>
      <c r="C74" s="9"/>
      <c r="D74" s="9"/>
      <c r="E74" s="9"/>
      <c r="F74" s="9"/>
      <c r="G74" s="9"/>
      <c r="H74" s="9"/>
    </row>
    <row r="75" spans="2:8" x14ac:dyDescent="0.25">
      <c r="B75" t="str">
        <f>B19&amp;" as a % of Rev"</f>
        <v>Accounts Receivable as a % of Rev</v>
      </c>
      <c r="C75" s="16"/>
      <c r="D75" s="17">
        <f>C19/C71</f>
        <v>6.2120668943439185E-2</v>
      </c>
      <c r="E75" s="17">
        <f>D75</f>
        <v>6.2120668943439185E-2</v>
      </c>
      <c r="F75" s="17">
        <f t="shared" ref="F75:H77" si="39">E75</f>
        <v>6.2120668943439185E-2</v>
      </c>
      <c r="G75" s="17">
        <f t="shared" si="39"/>
        <v>6.2120668943439185E-2</v>
      </c>
      <c r="H75" s="17">
        <f t="shared" si="39"/>
        <v>6.2120668943439185E-2</v>
      </c>
    </row>
    <row r="76" spans="2:8" x14ac:dyDescent="0.25">
      <c r="B76" t="str">
        <f>B20&amp;" as a % of COGS"</f>
        <v>Inventory as a % of COGS</v>
      </c>
      <c r="C76" s="16"/>
      <c r="D76" s="17">
        <f>C20/C72</f>
        <v>0.11304668660807232</v>
      </c>
      <c r="E76" s="17">
        <f>D76</f>
        <v>0.11304668660807232</v>
      </c>
      <c r="F76" s="17">
        <f t="shared" si="39"/>
        <v>0.11304668660807232</v>
      </c>
      <c r="G76" s="17">
        <f t="shared" si="39"/>
        <v>0.11304668660807232</v>
      </c>
      <c r="H76" s="17">
        <f t="shared" si="39"/>
        <v>0.11304668660807232</v>
      </c>
    </row>
    <row r="77" spans="2:8" x14ac:dyDescent="0.25">
      <c r="B77" t="str">
        <f>B25&amp;" as a % of COGS"</f>
        <v>Accounts Payable as a % of COGS</v>
      </c>
      <c r="C77" s="16"/>
      <c r="D77" s="17">
        <f>C25/C72</f>
        <v>0.1960758476195496</v>
      </c>
      <c r="E77" s="17">
        <f>D77</f>
        <v>0.1960758476195496</v>
      </c>
      <c r="F77" s="17">
        <f t="shared" si="39"/>
        <v>0.1960758476195496</v>
      </c>
      <c r="G77" s="17">
        <f t="shared" si="39"/>
        <v>0.1960758476195496</v>
      </c>
      <c r="H77" s="17">
        <f t="shared" si="39"/>
        <v>0.1960758476195496</v>
      </c>
    </row>
    <row r="79" spans="2:8" x14ac:dyDescent="0.25">
      <c r="B79" t="s">
        <v>29</v>
      </c>
      <c r="C79" s="13"/>
      <c r="D79" s="13">
        <v>40000</v>
      </c>
      <c r="E79" s="13">
        <f>D79</f>
        <v>40000</v>
      </c>
      <c r="F79" s="13">
        <f>E79</f>
        <v>40000</v>
      </c>
      <c r="G79" s="13">
        <f>F79</f>
        <v>40000</v>
      </c>
      <c r="H79" s="13">
        <f>G79</f>
        <v>40000</v>
      </c>
    </row>
    <row r="80" spans="2:8" x14ac:dyDescent="0.25">
      <c r="B80" t="s">
        <v>76</v>
      </c>
      <c r="C80" s="19"/>
      <c r="D80" s="19">
        <v>7.0000000000000007E-2</v>
      </c>
      <c r="E80" s="19">
        <v>7.0000000000000007E-2</v>
      </c>
      <c r="F80" s="19">
        <v>7.0000000000000007E-2</v>
      </c>
      <c r="G80" s="19">
        <v>7.0000000000000007E-2</v>
      </c>
      <c r="H80" s="19">
        <v>7.0000000000000007E-2</v>
      </c>
    </row>
    <row r="81" spans="1:8" x14ac:dyDescent="0.25">
      <c r="B81" t="s">
        <v>17</v>
      </c>
      <c r="C81" s="10"/>
      <c r="D81" s="10">
        <f>D79*D80</f>
        <v>2800.0000000000005</v>
      </c>
      <c r="E81" s="10">
        <f t="shared" ref="E81:H81" si="40">E79*E80</f>
        <v>2800.0000000000005</v>
      </c>
      <c r="F81" s="10">
        <f t="shared" si="40"/>
        <v>2800.0000000000005</v>
      </c>
      <c r="G81" s="10">
        <f t="shared" si="40"/>
        <v>2800.0000000000005</v>
      </c>
      <c r="H81" s="10">
        <f t="shared" si="40"/>
        <v>2800.0000000000005</v>
      </c>
    </row>
    <row r="82" spans="1:8" x14ac:dyDescent="0.25">
      <c r="B82" s="1"/>
      <c r="C82" s="20"/>
      <c r="D82" s="20"/>
      <c r="E82" s="20"/>
      <c r="F82" s="20"/>
      <c r="G82" s="20"/>
      <c r="H82" s="20"/>
    </row>
    <row r="83" spans="1:8" x14ac:dyDescent="0.25">
      <c r="A83" t="s">
        <v>55</v>
      </c>
      <c r="B83" s="5" t="s">
        <v>43</v>
      </c>
      <c r="C83" s="5"/>
      <c r="D83" s="5"/>
      <c r="E83" s="5"/>
      <c r="F83" s="5"/>
      <c r="G83" s="5"/>
      <c r="H83" s="5"/>
    </row>
    <row r="84" spans="1:8" x14ac:dyDescent="0.25">
      <c r="B84" s="26" t="s">
        <v>45</v>
      </c>
      <c r="C84" s="9"/>
      <c r="D84" s="9"/>
      <c r="E84" s="9"/>
      <c r="F84" s="9"/>
      <c r="G84" s="9"/>
      <c r="H84" s="9"/>
    </row>
    <row r="85" spans="1:8" x14ac:dyDescent="0.25">
      <c r="B85" t="s">
        <v>52</v>
      </c>
      <c r="D85" s="13">
        <v>15000</v>
      </c>
      <c r="E85" s="13">
        <v>12000</v>
      </c>
      <c r="F85" s="13">
        <v>10000</v>
      </c>
      <c r="G85" s="13">
        <v>7500</v>
      </c>
      <c r="H85" s="13">
        <v>7500</v>
      </c>
    </row>
    <row r="87" spans="1:8" x14ac:dyDescent="0.25">
      <c r="B87" t="s">
        <v>64</v>
      </c>
      <c r="C87" s="15">
        <v>10</v>
      </c>
    </row>
    <row r="88" spans="1:8" x14ac:dyDescent="0.25">
      <c r="B88" t="s">
        <v>63</v>
      </c>
      <c r="C88" s="15">
        <v>10</v>
      </c>
    </row>
    <row r="89" spans="1:8" x14ac:dyDescent="0.25">
      <c r="B89" t="s">
        <v>78</v>
      </c>
      <c r="C89" s="10">
        <f>C22</f>
        <v>48990</v>
      </c>
    </row>
    <row r="91" spans="1:8" x14ac:dyDescent="0.25">
      <c r="C91" s="1" t="s">
        <v>52</v>
      </c>
      <c r="D91" s="1">
        <v>2024</v>
      </c>
      <c r="E91" s="1">
        <v>2025</v>
      </c>
      <c r="F91" s="1">
        <v>2026</v>
      </c>
      <c r="G91" s="1">
        <v>2027</v>
      </c>
      <c r="H91" s="1">
        <v>2028</v>
      </c>
    </row>
    <row r="92" spans="1:8" x14ac:dyDescent="0.25">
      <c r="C92" s="10" cm="1">
        <f t="array" ref="C92:C96">TRANSPOSE(D85:H85)</f>
        <v>15000</v>
      </c>
      <c r="D92" s="10">
        <f>$C92/$C$88</f>
        <v>1500</v>
      </c>
      <c r="E92" s="10">
        <f>$C92/$C$88</f>
        <v>1500</v>
      </c>
      <c r="F92" s="10">
        <f>$C92/$C$88</f>
        <v>1500</v>
      </c>
      <c r="G92" s="10">
        <f>$C92/$C$88</f>
        <v>1500</v>
      </c>
      <c r="H92" s="10">
        <f>$C92/$C$88</f>
        <v>1500</v>
      </c>
    </row>
    <row r="93" spans="1:8" x14ac:dyDescent="0.25">
      <c r="C93" s="10">
        <v>12000</v>
      </c>
      <c r="D93" s="10"/>
      <c r="E93" s="10">
        <f>$C93/$C$88</f>
        <v>1200</v>
      </c>
      <c r="F93" s="10">
        <f>$C93/$C$88</f>
        <v>1200</v>
      </c>
      <c r="G93" s="10">
        <f>$C93/$C$88</f>
        <v>1200</v>
      </c>
      <c r="H93" s="10">
        <f>$C93/$C$88</f>
        <v>1200</v>
      </c>
    </row>
    <row r="94" spans="1:8" x14ac:dyDescent="0.25">
      <c r="C94" s="10">
        <v>10000</v>
      </c>
      <c r="D94" s="10"/>
      <c r="E94" s="10"/>
      <c r="F94" s="10">
        <f>$C94/$C$88</f>
        <v>1000</v>
      </c>
      <c r="G94" s="10">
        <f>$C94/$C$88</f>
        <v>1000</v>
      </c>
      <c r="H94" s="10">
        <f>$C94/$C$88</f>
        <v>1000</v>
      </c>
    </row>
    <row r="95" spans="1:8" x14ac:dyDescent="0.25">
      <c r="C95" s="10">
        <v>7500</v>
      </c>
      <c r="D95" s="10"/>
      <c r="E95" s="10"/>
      <c r="F95" s="10"/>
      <c r="G95" s="10">
        <f>$C95/$C$88</f>
        <v>750</v>
      </c>
      <c r="H95" s="10">
        <f>$C95/$C$88</f>
        <v>750</v>
      </c>
    </row>
    <row r="96" spans="1:8" x14ac:dyDescent="0.25">
      <c r="C96" s="10">
        <v>7500</v>
      </c>
      <c r="D96" s="10"/>
      <c r="E96" s="10"/>
      <c r="F96" s="10"/>
      <c r="G96" s="10"/>
      <c r="H96" s="10">
        <f>$C96/$C$88</f>
        <v>750</v>
      </c>
    </row>
    <row r="98" spans="1:8" x14ac:dyDescent="0.25">
      <c r="B98" t="s">
        <v>60</v>
      </c>
      <c r="D98" s="10">
        <f>$C$89/$C$87</f>
        <v>4899</v>
      </c>
      <c r="E98" s="10">
        <f t="shared" ref="E98:H98" si="41">$C$89/$C$87</f>
        <v>4899</v>
      </c>
      <c r="F98" s="10">
        <f t="shared" si="41"/>
        <v>4899</v>
      </c>
      <c r="G98" s="10">
        <f t="shared" si="41"/>
        <v>4899</v>
      </c>
      <c r="H98" s="10">
        <f t="shared" si="41"/>
        <v>4899</v>
      </c>
    </row>
    <row r="99" spans="1:8" x14ac:dyDescent="0.25">
      <c r="B99" t="s">
        <v>61</v>
      </c>
      <c r="D99" s="10">
        <f>SUM(D98,D92:D97)</f>
        <v>6399</v>
      </c>
      <c r="E99" s="10">
        <f t="shared" ref="E99:H99" si="42">SUM(E98,E92:E97)</f>
        <v>7599</v>
      </c>
      <c r="F99" s="10">
        <f t="shared" si="42"/>
        <v>8599</v>
      </c>
      <c r="G99" s="10">
        <f t="shared" si="42"/>
        <v>9349</v>
      </c>
      <c r="H99" s="10">
        <f t="shared" si="42"/>
        <v>10099</v>
      </c>
    </row>
    <row r="100" spans="1:8" x14ac:dyDescent="0.25">
      <c r="B100" s="8" t="s">
        <v>62</v>
      </c>
      <c r="C100" s="8"/>
      <c r="D100" s="14">
        <f>SUM(D98:D99)</f>
        <v>11298</v>
      </c>
      <c r="E100" s="14">
        <f t="shared" ref="E100:H100" si="43">SUM(E98:E99)</f>
        <v>12498</v>
      </c>
      <c r="F100" s="14">
        <f t="shared" si="43"/>
        <v>13498</v>
      </c>
      <c r="G100" s="14">
        <f t="shared" si="43"/>
        <v>14248</v>
      </c>
      <c r="H100" s="14">
        <f t="shared" si="43"/>
        <v>14998</v>
      </c>
    </row>
    <row r="101" spans="1:8" x14ac:dyDescent="0.25">
      <c r="C101" s="10"/>
    </row>
    <row r="102" spans="1:8" x14ac:dyDescent="0.25">
      <c r="B102" t="s">
        <v>51</v>
      </c>
      <c r="C102" s="10">
        <f>C89</f>
        <v>48990</v>
      </c>
      <c r="D102" s="10">
        <f t="shared" ref="D102:H102" si="44">D89</f>
        <v>0</v>
      </c>
      <c r="E102" s="10">
        <f t="shared" si="44"/>
        <v>0</v>
      </c>
      <c r="F102" s="10">
        <f>F89</f>
        <v>0</v>
      </c>
      <c r="G102" s="10">
        <f t="shared" si="44"/>
        <v>0</v>
      </c>
      <c r="H102" s="10">
        <f t="shared" si="44"/>
        <v>0</v>
      </c>
    </row>
    <row r="103" spans="1:8" x14ac:dyDescent="0.25">
      <c r="B103" t="s">
        <v>52</v>
      </c>
      <c r="C103" s="10">
        <f>D85</f>
        <v>15000</v>
      </c>
      <c r="D103" s="10">
        <f t="shared" ref="D103:H103" si="45">E85</f>
        <v>12000</v>
      </c>
      <c r="E103" s="10">
        <f t="shared" si="45"/>
        <v>10000</v>
      </c>
      <c r="F103" s="10">
        <f t="shared" si="45"/>
        <v>7500</v>
      </c>
      <c r="G103" s="10">
        <f t="shared" si="45"/>
        <v>7500</v>
      </c>
      <c r="H103" s="10">
        <f t="shared" si="45"/>
        <v>0</v>
      </c>
    </row>
    <row r="104" spans="1:8" x14ac:dyDescent="0.25">
      <c r="B104" t="s">
        <v>15</v>
      </c>
      <c r="C104" s="10">
        <f>-D100</f>
        <v>-11298</v>
      </c>
      <c r="D104" s="10">
        <f t="shared" ref="D104:H104" si="46">-E100</f>
        <v>-12498</v>
      </c>
      <c r="E104" s="10">
        <f t="shared" si="46"/>
        <v>-13498</v>
      </c>
      <c r="F104" s="10">
        <f t="shared" si="46"/>
        <v>-14248</v>
      </c>
      <c r="G104" s="10">
        <f t="shared" si="46"/>
        <v>-14998</v>
      </c>
      <c r="H104" s="10">
        <f t="shared" si="46"/>
        <v>0</v>
      </c>
    </row>
    <row r="105" spans="1:8" x14ac:dyDescent="0.25">
      <c r="B105" s="3" t="s">
        <v>53</v>
      </c>
      <c r="C105" s="11">
        <f>SUM(C102:C104)</f>
        <v>52692</v>
      </c>
      <c r="D105" s="11">
        <f t="shared" ref="D105:H105" si="47">SUM(D102:D104)</f>
        <v>-498</v>
      </c>
      <c r="E105" s="11">
        <f t="shared" si="47"/>
        <v>-3498</v>
      </c>
      <c r="F105" s="11">
        <f t="shared" si="47"/>
        <v>-6748</v>
      </c>
      <c r="G105" s="11">
        <f t="shared" si="47"/>
        <v>-7498</v>
      </c>
      <c r="H105" s="11">
        <f t="shared" si="47"/>
        <v>0</v>
      </c>
    </row>
    <row r="107" spans="1:8" x14ac:dyDescent="0.25">
      <c r="A107" t="s">
        <v>55</v>
      </c>
      <c r="B107" s="26" t="s">
        <v>66</v>
      </c>
      <c r="C107" s="9"/>
      <c r="D107" s="9"/>
      <c r="E107" s="9"/>
      <c r="F107" s="9"/>
      <c r="G107" s="9"/>
      <c r="H107" s="9"/>
    </row>
    <row r="108" spans="1:8" x14ac:dyDescent="0.25">
      <c r="B108" t="s">
        <v>68</v>
      </c>
      <c r="C108" s="10"/>
      <c r="D108" s="10">
        <f>C111</f>
        <v>2155</v>
      </c>
      <c r="E108" s="10">
        <f t="shared" ref="E108:H108" si="48">D111</f>
        <v>20551.234000000004</v>
      </c>
      <c r="F108" s="10">
        <f t="shared" si="48"/>
        <v>42041.600200000015</v>
      </c>
      <c r="G108" s="10">
        <f t="shared" si="48"/>
        <v>68907.156450000009</v>
      </c>
      <c r="H108" s="10">
        <f t="shared" si="48"/>
        <v>96943.570575000005</v>
      </c>
    </row>
    <row r="109" spans="1:8" x14ac:dyDescent="0.25">
      <c r="B109" t="s">
        <v>20</v>
      </c>
      <c r="C109" s="10"/>
      <c r="D109" s="10">
        <f>D14</f>
        <v>28396.234000000004</v>
      </c>
      <c r="E109" s="10">
        <f t="shared" ref="E109:H109" si="49">E14</f>
        <v>33990.366200000011</v>
      </c>
      <c r="F109" s="10">
        <f t="shared" si="49"/>
        <v>41865.556250000001</v>
      </c>
      <c r="G109" s="10">
        <f t="shared" si="49"/>
        <v>48036.414124999996</v>
      </c>
      <c r="H109" s="10">
        <f t="shared" si="49"/>
        <v>50681.067500000005</v>
      </c>
    </row>
    <row r="110" spans="1:8" x14ac:dyDescent="0.25">
      <c r="B110" t="s">
        <v>42</v>
      </c>
      <c r="C110" s="10"/>
      <c r="D110" s="13">
        <v>-10000</v>
      </c>
      <c r="E110" s="13">
        <v>-12500</v>
      </c>
      <c r="F110" s="13">
        <v>-15000</v>
      </c>
      <c r="G110" s="13">
        <v>-20000</v>
      </c>
      <c r="H110" s="13">
        <v>-25000</v>
      </c>
    </row>
    <row r="111" spans="1:8" x14ac:dyDescent="0.25">
      <c r="B111" s="8" t="s">
        <v>67</v>
      </c>
      <c r="C111" s="14">
        <f>C33</f>
        <v>2155</v>
      </c>
      <c r="D111" s="14">
        <f>SUM(D108:D110)</f>
        <v>20551.234000000004</v>
      </c>
      <c r="E111" s="14">
        <f t="shared" ref="E111:H111" si="50">SUM(E108:E110)</f>
        <v>42041.600200000015</v>
      </c>
      <c r="F111" s="14">
        <f t="shared" si="50"/>
        <v>68907.156450000009</v>
      </c>
      <c r="G111" s="14">
        <f t="shared" si="50"/>
        <v>96943.570575000005</v>
      </c>
      <c r="H111" s="14">
        <f t="shared" si="50"/>
        <v>122624.63807500002</v>
      </c>
    </row>
    <row r="113" spans="1:9" x14ac:dyDescent="0.25">
      <c r="A113" t="s">
        <v>55</v>
      </c>
      <c r="B113" s="5" t="s">
        <v>27</v>
      </c>
      <c r="C113" s="5"/>
      <c r="D113" s="5"/>
      <c r="E113" s="5"/>
      <c r="F113" s="5"/>
      <c r="G113" s="5"/>
      <c r="H113" s="5"/>
    </row>
    <row r="114" spans="1:9" x14ac:dyDescent="0.25">
      <c r="B114" s="26" t="s">
        <v>69</v>
      </c>
      <c r="C114" s="9"/>
      <c r="D114" s="9"/>
      <c r="E114" s="9"/>
      <c r="F114" s="9"/>
      <c r="G114" s="9"/>
      <c r="H114" s="9"/>
    </row>
    <row r="115" spans="1:9" x14ac:dyDescent="0.25">
      <c r="B115" t="s">
        <v>8</v>
      </c>
      <c r="D115" s="10"/>
      <c r="E115" s="10"/>
      <c r="F115" s="10"/>
      <c r="G115" s="10"/>
      <c r="H115" s="10"/>
    </row>
    <row r="116" spans="1:9" x14ac:dyDescent="0.25">
      <c r="B116" t="s">
        <v>70</v>
      </c>
      <c r="D116" s="10"/>
      <c r="E116" s="10"/>
      <c r="F116" s="10"/>
      <c r="G116" s="10"/>
      <c r="H116" s="10"/>
    </row>
    <row r="117" spans="1:9" x14ac:dyDescent="0.25">
      <c r="B117" t="s">
        <v>71</v>
      </c>
      <c r="D117" s="10"/>
      <c r="E117" s="10"/>
      <c r="F117" s="10"/>
      <c r="G117" s="10"/>
      <c r="H117" s="10"/>
    </row>
    <row r="118" spans="1:9" x14ac:dyDescent="0.25">
      <c r="B118" t="s">
        <v>39</v>
      </c>
      <c r="D118" s="10"/>
      <c r="E118" s="10"/>
      <c r="F118" s="10"/>
      <c r="G118" s="10"/>
      <c r="H118" s="10"/>
    </row>
    <row r="119" spans="1:9" x14ac:dyDescent="0.25">
      <c r="B119" t="s">
        <v>41</v>
      </c>
      <c r="D119" s="10"/>
      <c r="E119" s="10"/>
      <c r="F119" s="10"/>
      <c r="G119" s="10"/>
      <c r="H119" s="10"/>
    </row>
    <row r="120" spans="1:9" x14ac:dyDescent="0.25">
      <c r="B120" t="s">
        <v>42</v>
      </c>
      <c r="D120" s="10"/>
      <c r="E120" s="10"/>
      <c r="F120" s="10"/>
      <c r="G120" s="10"/>
      <c r="H120" s="10"/>
    </row>
    <row r="121" spans="1:9" x14ac:dyDescent="0.25">
      <c r="B121" s="8" t="s">
        <v>72</v>
      </c>
      <c r="C121" s="8"/>
      <c r="D121" s="14"/>
      <c r="E121" s="14"/>
      <c r="F121" s="14"/>
      <c r="G121" s="14"/>
      <c r="H121" s="14"/>
    </row>
    <row r="123" spans="1:9" x14ac:dyDescent="0.25">
      <c r="B123" s="26" t="s">
        <v>27</v>
      </c>
      <c r="C123" s="9"/>
      <c r="D123" s="9"/>
      <c r="E123" s="9"/>
      <c r="F123" s="9"/>
      <c r="G123" s="9"/>
      <c r="H123" s="9"/>
    </row>
    <row r="124" spans="1:9" x14ac:dyDescent="0.25">
      <c r="B124" t="s">
        <v>73</v>
      </c>
      <c r="D124" s="10"/>
      <c r="E124" s="10"/>
      <c r="F124" s="10"/>
      <c r="G124" s="10"/>
      <c r="H124" s="10"/>
    </row>
    <row r="125" spans="1:9" x14ac:dyDescent="0.25">
      <c r="B125" t="s">
        <v>40</v>
      </c>
      <c r="D125" s="10"/>
      <c r="E125" s="10"/>
      <c r="F125" s="10"/>
      <c r="G125" s="10"/>
      <c r="H125" s="10"/>
      <c r="I125" s="10"/>
    </row>
    <row r="126" spans="1:9" x14ac:dyDescent="0.25">
      <c r="B126" s="8" t="s">
        <v>74</v>
      </c>
      <c r="C126" s="14"/>
      <c r="D126" s="14"/>
      <c r="E126" s="14"/>
      <c r="F126" s="14"/>
      <c r="G126" s="14"/>
      <c r="H126" s="14"/>
    </row>
    <row r="128" spans="1:9" x14ac:dyDescent="0.25">
      <c r="B128" t="s">
        <v>80</v>
      </c>
      <c r="D128" s="18">
        <v>0.05</v>
      </c>
      <c r="E128" s="18">
        <v>0.05</v>
      </c>
      <c r="F128" s="18">
        <v>0.05</v>
      </c>
      <c r="G128" s="18">
        <v>0.05</v>
      </c>
      <c r="H128" s="18">
        <v>0.05</v>
      </c>
    </row>
    <row r="129" spans="1:8" x14ac:dyDescent="0.25">
      <c r="B129" t="s">
        <v>17</v>
      </c>
      <c r="D129" s="10"/>
      <c r="E129" s="10"/>
      <c r="F129" s="10"/>
      <c r="G129" s="10"/>
      <c r="H129" s="10"/>
    </row>
    <row r="130" spans="1:8" x14ac:dyDescent="0.25">
      <c r="A130" t="s">
        <v>55</v>
      </c>
      <c r="B130" s="8" t="s">
        <v>75</v>
      </c>
      <c r="C130" s="14"/>
      <c r="D130" s="14"/>
      <c r="E130" s="14"/>
      <c r="F130" s="14"/>
      <c r="G130" s="14"/>
      <c r="H130" s="14"/>
    </row>
    <row r="138" spans="1:8" s="1" customFormat="1" x14ac:dyDescent="0.25"/>
    <row r="161" spans="1:1" x14ac:dyDescent="0.25">
      <c r="A161" t="s">
        <v>55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9A4DB5-C5C4-443F-87B2-80C3CEDDC2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772FDE-7B67-405C-912F-79931FAB6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Start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Deepanshu</cp:lastModifiedBy>
  <dcterms:created xsi:type="dcterms:W3CDTF">2023-10-04T09:06:02Z</dcterms:created>
  <dcterms:modified xsi:type="dcterms:W3CDTF">2026-08-21T21:07:25Z</dcterms:modified>
</cp:coreProperties>
</file>